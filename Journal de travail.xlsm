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FID2\I323\Projet Production automobile europe\"/>
    </mc:Choice>
  </mc:AlternateContent>
  <xr:revisionPtr revIDLastSave="0" documentId="13_ncr:1_{5FC24F37-976E-4D0E-A805-C6F777BA5BBC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9" r:id="rId5"/>
    <sheet name="achievementWeek" sheetId="154" state="hidden" r:id="rId6"/>
    <sheet name="JNLTRAV" sheetId="160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5" i="160" l="1"/>
  <c r="D77" i="160"/>
  <c r="D96" i="160"/>
  <c r="D58" i="160"/>
  <c r="D39" i="160"/>
  <c r="D20" i="160"/>
  <c r="D1" i="160"/>
  <c r="B132" i="160"/>
  <c r="B113" i="160"/>
  <c r="B94" i="160"/>
  <c r="B75" i="160"/>
  <c r="B56" i="160"/>
  <c r="B37" i="160"/>
  <c r="B18" i="160"/>
  <c r="B97" i="159"/>
  <c r="B83" i="159"/>
  <c r="B69" i="159"/>
  <c r="B55" i="159"/>
  <c r="B41" i="159"/>
  <c r="B27" i="159"/>
  <c r="B13" i="159"/>
  <c r="B18" i="154"/>
  <c r="B13" i="11" l="1"/>
</calcChain>
</file>

<file path=xl/sharedStrings.xml><?xml version="1.0" encoding="utf-8"?>
<sst xmlns="http://schemas.openxmlformats.org/spreadsheetml/2006/main" count="187" uniqueCount="57">
  <si>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</si>
  <si>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</si>
  <si>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</si>
  <si>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</si>
  <si>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</si>
  <si>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</si>
  <si>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</si>
  <si>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</si>
  <si>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</si>
  <si>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</si>
  <si>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</si>
  <si>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</si>
  <si>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</si>
  <si>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</si>
  <si>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</si>
  <si>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</si>
  <si>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</si>
  <si>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</si>
  <si>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</si>
  <si>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</si>
  <si>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</si>
  <si>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</si>
  <si>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</si>
  <si>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</si>
  <si>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Diogo Filipe Rodrigues Lopes</t>
  </si>
  <si>
    <t>ETML</t>
  </si>
  <si>
    <t>STOP</t>
  </si>
  <si>
    <t>FID2</t>
  </si>
  <si>
    <t>Max. 9</t>
  </si>
  <si>
    <t>Affichage de plusieurs Time Series</t>
  </si>
  <si>
    <t xml:space="preserve">Possibilité de Zoom </t>
  </si>
  <si>
    <t xml:space="preserve">Sélection de période temporelle </t>
  </si>
  <si>
    <t>Possibilité d'isoler les time series</t>
  </si>
  <si>
    <t xml:space="preserve">Pouvoir importer des données </t>
  </si>
  <si>
    <t xml:space="preserve">Pouvoir importer differents types de fichiers </t>
  </si>
  <si>
    <t>Regroupement des données d'une même serie</t>
  </si>
  <si>
    <t xml:space="preserve">P_FUN 323 Production automobile </t>
  </si>
  <si>
    <t>Maquette</t>
  </si>
  <si>
    <t>planification</t>
  </si>
  <si>
    <t>recherche du sujet</t>
  </si>
  <si>
    <t>Etablir la planification</t>
  </si>
  <si>
    <t>Création de la Maquette</t>
  </si>
  <si>
    <t>Mise au propre</t>
  </si>
  <si>
    <t>En tant qu’Utilisateur, j'aimerais pouvoir afficher toutes mes times series sur mon Graphique</t>
  </si>
  <si>
    <t>En tant qu’Utilisateur, je veux afficher mes données sur un graphique afin de me les représenter</t>
  </si>
  <si>
    <t>En tant qu'utilisateur, je veux pouvoir sélectionner/désélectionner certaines time serie afin de mieux les analyser.</t>
  </si>
  <si>
    <t>En tant qu'utilisateur, je veux choisir une période spécifique afin de limiter l'affichage a la période sélectionné.</t>
  </si>
  <si>
    <t>En tant qu'utilisateur, je veux zoomer sur une partie du graphique afin de pouvoir l'analyser plus en détail.</t>
  </si>
  <si>
    <t>Mise au propre finale du projet</t>
  </si>
  <si>
    <t>En tant qu'utilisateur, j'aimerais pouvoir regrouper différents fichier d'une même série sur la même ligne du graphique.</t>
  </si>
  <si>
    <t>En tant qu'utilisateur, je veux pouvoir importer mes données depuis différents formats de fichiers.</t>
  </si>
  <si>
    <t>Recherche de données sur le sujet du graphique</t>
  </si>
  <si>
    <t>planification du travail nécessaires pour le projet</t>
  </si>
  <si>
    <t xml:space="preserve">Création d'une maquette représentative de l'interface du logiciel </t>
  </si>
  <si>
    <t>Recherche d'informations sur la production d'automobiles en europe</t>
  </si>
  <si>
    <t>Planification initiale du projet</t>
  </si>
  <si>
    <t>ajustement du travail en fonction de capacités de l'équipe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</si>
</sst>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9153" name="btnImportPlanification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57892560-C11D-4BA5-89BB-6C9EC31AD3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0177" name="btnImportRealisation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F723A6BF-8B5F-4582-A0D5-1290819B9F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="115" zoomScaleNormal="100" zoomScaleSheetLayoutView="115" workbookViewId="0">
      <selection activeCell="C12" sqref="C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36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24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25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93" t="s">
        <v>19</v>
      </c>
      <c r="C19" s="94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 t="s">
        <v>37</v>
      </c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 t="s">
        <v>39</v>
      </c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B9901-3CDD-46A7-B3A6-303E52C75052}">
  <sheetPr codeName="Feuil5"/>
  <dimension ref="A1:H99"/>
  <sheetViews>
    <sheetView workbookViewId="0">
      <selection activeCell="C18" sqref="C1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 t="s">
        <v>39</v>
      </c>
      <c r="B3" s="4">
        <v>3</v>
      </c>
      <c r="C3" s="89" t="s">
        <v>51</v>
      </c>
      <c r="D3" s="9"/>
    </row>
    <row r="4" spans="1:4" s="52" customFormat="1" x14ac:dyDescent="0.25">
      <c r="A4" s="92" t="s">
        <v>38</v>
      </c>
      <c r="B4" s="2">
        <v>6</v>
      </c>
      <c r="C4" s="90" t="s">
        <v>52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5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8" x14ac:dyDescent="0.25">
      <c r="A17" s="5" t="s">
        <v>37</v>
      </c>
      <c r="B17" s="4">
        <v>5</v>
      </c>
      <c r="C17" s="89" t="s">
        <v>53</v>
      </c>
      <c r="D17" s="9"/>
    </row>
    <row r="18" spans="1:8" x14ac:dyDescent="0.25">
      <c r="A18" s="92" t="s">
        <v>38</v>
      </c>
      <c r="B18" s="2">
        <v>4</v>
      </c>
      <c r="C18" s="90" t="s">
        <v>56</v>
      </c>
      <c r="D18" s="10"/>
    </row>
    <row r="19" spans="1:8" x14ac:dyDescent="0.25">
      <c r="A19" s="1"/>
      <c r="B19" s="2"/>
      <c r="C19" s="10"/>
      <c r="D19" s="10"/>
    </row>
    <row r="20" spans="1:8" ht="12.75" customHeight="1" x14ac:dyDescent="0.25">
      <c r="A20" s="1"/>
      <c r="B20" s="2"/>
      <c r="C20" s="10"/>
      <c r="D20" s="10"/>
      <c r="F20" s="31"/>
      <c r="G20" s="32"/>
      <c r="H20" s="33"/>
    </row>
    <row r="21" spans="1:8" ht="15" x14ac:dyDescent="0.25">
      <c r="A21" s="1"/>
      <c r="B21" s="2"/>
      <c r="C21" s="10"/>
      <c r="D21" s="10"/>
      <c r="F21" s="34"/>
      <c r="G21" s="30"/>
      <c r="H21" s="30"/>
    </row>
    <row r="22" spans="1:8" x14ac:dyDescent="0.25">
      <c r="A22" s="1"/>
      <c r="B22" s="2"/>
      <c r="C22" s="10"/>
      <c r="D22" s="10"/>
      <c r="F22" s="36"/>
      <c r="G22" s="37"/>
      <c r="H22" s="37"/>
    </row>
    <row r="23" spans="1:8" x14ac:dyDescent="0.25">
      <c r="A23" s="2"/>
      <c r="B23" s="2"/>
      <c r="C23" s="10"/>
      <c r="D23" s="10"/>
      <c r="F23" s="36"/>
      <c r="G23" s="37"/>
      <c r="H23" s="37"/>
    </row>
    <row r="24" spans="1:8" x14ac:dyDescent="0.25">
      <c r="A24" s="2"/>
      <c r="B24" s="2"/>
      <c r="C24" s="10"/>
      <c r="D24" s="10"/>
      <c r="F24" s="36"/>
      <c r="G24" s="37"/>
      <c r="H24" s="37"/>
    </row>
    <row r="25" spans="1:8" x14ac:dyDescent="0.25">
      <c r="A25" s="2"/>
      <c r="B25" s="2"/>
      <c r="C25" s="10"/>
      <c r="D25" s="10"/>
      <c r="F25" s="36"/>
      <c r="G25" s="37"/>
      <c r="H25" s="37"/>
    </row>
    <row r="26" spans="1:8" ht="14.25" thickBot="1" x14ac:dyDescent="0.3">
      <c r="A26" s="3"/>
      <c r="B26" s="3"/>
      <c r="C26" s="11"/>
      <c r="D26" s="11"/>
      <c r="F26" s="36"/>
      <c r="G26" s="37"/>
      <c r="H26" s="37"/>
    </row>
    <row r="27" spans="1:8" ht="14.25" thickBot="1" x14ac:dyDescent="0.3">
      <c r="A27" s="12" t="s">
        <v>22</v>
      </c>
      <c r="B27" s="12">
        <f>SUM(B17:B26)</f>
        <v>9</v>
      </c>
      <c r="C27" s="88" t="s">
        <v>28</v>
      </c>
      <c r="D27" s="13"/>
      <c r="F27" s="36"/>
      <c r="G27" s="37"/>
      <c r="H27" s="37"/>
    </row>
    <row r="28" spans="1:8" ht="15" thickBot="1" x14ac:dyDescent="0.35">
      <c r="A28" s="14"/>
      <c r="B28" s="14"/>
      <c r="C28" s="14"/>
      <c r="D28" s="14"/>
      <c r="F28" s="36"/>
      <c r="G28" s="37"/>
      <c r="H28" s="37"/>
    </row>
    <row r="29" spans="1:8" ht="18.75" thickBot="1" x14ac:dyDescent="0.3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27" x14ac:dyDescent="0.3">
      <c r="A31" s="5" t="s">
        <v>29</v>
      </c>
      <c r="B31" s="4">
        <v>3</v>
      </c>
      <c r="C31" s="89" t="s">
        <v>43</v>
      </c>
      <c r="D31" s="9"/>
      <c r="F31" s="40"/>
      <c r="G31" s="40"/>
      <c r="H31" s="40"/>
    </row>
    <row r="32" spans="1:8" ht="27" x14ac:dyDescent="0.25">
      <c r="A32" s="1" t="s">
        <v>33</v>
      </c>
      <c r="B32" s="2">
        <v>6</v>
      </c>
      <c r="C32" s="90" t="s">
        <v>44</v>
      </c>
      <c r="D32" s="10"/>
    </row>
    <row r="33" spans="1:4" x14ac:dyDescent="0.25">
      <c r="A33" s="1"/>
      <c r="B33" s="2"/>
      <c r="C33" s="10"/>
      <c r="D33" s="10"/>
    </row>
    <row r="34" spans="1:4" x14ac:dyDescent="0.25">
      <c r="A34" s="1"/>
      <c r="B34" s="2"/>
      <c r="C34" s="10"/>
      <c r="D34" s="10"/>
    </row>
    <row r="35" spans="1:4" x14ac:dyDescent="0.25">
      <c r="A35" s="1"/>
      <c r="B35" s="2"/>
      <c r="C35" s="10"/>
      <c r="D35" s="10"/>
    </row>
    <row r="36" spans="1:4" x14ac:dyDescent="0.25">
      <c r="A36" s="1"/>
      <c r="B36" s="2"/>
      <c r="C36" s="10"/>
      <c r="D36" s="10"/>
    </row>
    <row r="37" spans="1:4" x14ac:dyDescent="0.25">
      <c r="A37" s="2"/>
      <c r="B37" s="2"/>
      <c r="C37" s="10"/>
      <c r="D37" s="10"/>
    </row>
    <row r="38" spans="1:4" x14ac:dyDescent="0.25">
      <c r="A38" s="2"/>
      <c r="B38" s="2"/>
      <c r="C38" s="10"/>
      <c r="D38" s="10"/>
    </row>
    <row r="39" spans="1:4" x14ac:dyDescent="0.25">
      <c r="A39" s="2"/>
      <c r="B39" s="2"/>
      <c r="C39" s="10"/>
      <c r="D39" s="10"/>
    </row>
    <row r="40" spans="1:4" ht="14.25" thickBot="1" x14ac:dyDescent="0.3">
      <c r="A40" s="3"/>
      <c r="B40" s="3"/>
      <c r="C40" s="11"/>
      <c r="D40" s="11"/>
    </row>
    <row r="41" spans="1:4" ht="14.25" thickBot="1" x14ac:dyDescent="0.3">
      <c r="A41" s="12" t="s">
        <v>22</v>
      </c>
      <c r="B41" s="12">
        <f>SUM(B31:B40)</f>
        <v>9</v>
      </c>
      <c r="C41" s="88" t="s">
        <v>28</v>
      </c>
      <c r="D41" s="13"/>
    </row>
    <row r="42" spans="1:4" ht="15" thickBot="1" x14ac:dyDescent="0.35">
      <c r="A42" s="14"/>
      <c r="B42" s="14"/>
      <c r="C42" s="14"/>
      <c r="D42" s="14"/>
    </row>
    <row r="43" spans="1:4" ht="18.75" thickBot="1" x14ac:dyDescent="0.3">
      <c r="A43" s="6" t="s">
        <v>14</v>
      </c>
      <c r="B43" s="7">
        <v>4</v>
      </c>
      <c r="C43" s="17"/>
      <c r="D43" s="85"/>
    </row>
    <row r="44" spans="1:4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4" ht="27" x14ac:dyDescent="0.25">
      <c r="A45" s="5" t="s">
        <v>32</v>
      </c>
      <c r="B45" s="4">
        <v>7</v>
      </c>
      <c r="C45" s="89" t="s">
        <v>45</v>
      </c>
      <c r="D45" s="9"/>
    </row>
    <row r="46" spans="1:4" ht="27" x14ac:dyDescent="0.25">
      <c r="A46" s="1" t="s">
        <v>31</v>
      </c>
      <c r="B46" s="2">
        <v>2</v>
      </c>
      <c r="C46" s="90" t="s">
        <v>46</v>
      </c>
      <c r="D46" s="10"/>
    </row>
    <row r="47" spans="1:4" x14ac:dyDescent="0.25">
      <c r="A47" s="1"/>
      <c r="B47" s="2"/>
      <c r="C47" s="10"/>
      <c r="D47" s="10"/>
    </row>
    <row r="48" spans="1:4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9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5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31</v>
      </c>
      <c r="B59" s="4">
        <v>5</v>
      </c>
      <c r="C59" s="89" t="s">
        <v>46</v>
      </c>
      <c r="D59" s="9"/>
    </row>
    <row r="60" spans="1:4" ht="27" x14ac:dyDescent="0.25">
      <c r="A60" s="1" t="s">
        <v>30</v>
      </c>
      <c r="B60" s="2">
        <v>4</v>
      </c>
      <c r="C60" s="90" t="s">
        <v>47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9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5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40.5" x14ac:dyDescent="0.25">
      <c r="A73" s="5" t="s">
        <v>35</v>
      </c>
      <c r="B73" s="4">
        <v>2</v>
      </c>
      <c r="C73" s="89" t="s">
        <v>49</v>
      </c>
      <c r="D73" s="9"/>
    </row>
    <row r="74" spans="1:4" ht="40.5" x14ac:dyDescent="0.25">
      <c r="A74" s="1" t="s">
        <v>34</v>
      </c>
      <c r="B74" s="2">
        <v>7</v>
      </c>
      <c r="C74" s="90" t="s">
        <v>50</v>
      </c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9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5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40.5" x14ac:dyDescent="0.25">
      <c r="A87" s="5" t="s">
        <v>34</v>
      </c>
      <c r="B87" s="4">
        <v>7</v>
      </c>
      <c r="C87" s="9" t="s">
        <v>50</v>
      </c>
      <c r="D87" s="9"/>
    </row>
    <row r="88" spans="1:4" x14ac:dyDescent="0.25">
      <c r="A88" s="92" t="s">
        <v>42</v>
      </c>
      <c r="B88" s="2">
        <v>2</v>
      </c>
      <c r="C88" s="90" t="s">
        <v>48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9</v>
      </c>
      <c r="C97" s="88" t="s">
        <v>28</v>
      </c>
      <c r="D97" s="13"/>
    </row>
    <row r="98" spans="1:4" ht="14.25" x14ac:dyDescent="0.3">
      <c r="A98" s="14"/>
      <c r="B98" s="14"/>
      <c r="C98" s="14"/>
      <c r="D98" s="14"/>
    </row>
    <row r="99" spans="1:4" x14ac:dyDescent="0.25">
      <c r="A99" s="87" t="s">
        <v>26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 xr:uid="{7F737422-C186-4137-9D8F-CD1A78E34B5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 xr:uid="{E81E761E-FBE7-4BB1-99A3-43708D9A717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 xr:uid="{12427677-5938-41FC-AF48-D3499932A7AB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243CBCFF-53D7-448F-8CCC-86AE92AA7FAB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915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9153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5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500-000001000000}">
      <formula1>0</formula1>
      <formula2>NbPerWeek * NbQuartPer</formula2>
    </dataValidation>
    <dataValidation type="list" allowBlank="1" showInputMessage="1" showErrorMessage="1" sqref="A27:A34" xr:uid="{00000000-0002-0000-05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5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5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E1DAF-058E-4AA1-B2E2-1067F845AF71}">
  <sheetPr codeName="Feuil9"/>
  <dimension ref="A1:H134"/>
  <sheetViews>
    <sheetView tabSelected="1" workbookViewId="0">
      <selection activeCell="C23" sqref="C23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 t="s">
        <v>39</v>
      </c>
      <c r="B3" s="4">
        <v>3</v>
      </c>
      <c r="C3" s="89" t="s">
        <v>54</v>
      </c>
      <c r="D3" s="9"/>
    </row>
    <row r="4" spans="1:4" s="52" customFormat="1" x14ac:dyDescent="0.25">
      <c r="A4" s="92" t="s">
        <v>40</v>
      </c>
      <c r="B4" s="2">
        <v>6</v>
      </c>
      <c r="C4" s="90" t="s">
        <v>55</v>
      </c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28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7" x14ac:dyDescent="0.25">
      <c r="A22" s="91" t="s">
        <v>41</v>
      </c>
      <c r="B22" s="4">
        <v>5</v>
      </c>
      <c r="C22" s="89" t="s">
        <v>53</v>
      </c>
      <c r="D22" s="9"/>
    </row>
    <row r="23" spans="1:8" x14ac:dyDescent="0.25">
      <c r="A23" s="92" t="s">
        <v>40</v>
      </c>
      <c r="B23" s="2">
        <v>4</v>
      </c>
      <c r="C23" s="90" t="s">
        <v>56</v>
      </c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9</v>
      </c>
      <c r="C37" s="86" t="s">
        <v>28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28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28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$D$58+14</f>
        <v>45929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28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14</v>
      </c>
      <c r="B96" s="43">
        <v>6</v>
      </c>
      <c r="C96" s="44" t="s">
        <v>23</v>
      </c>
      <c r="D96" s="53">
        <f>$D$77+7</f>
        <v>45936</v>
      </c>
    </row>
    <row r="97" spans="1:4" ht="27.75" thickBot="1" x14ac:dyDescent="0.3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22</v>
      </c>
      <c r="B113" s="47">
        <f>SUM(B98:B112)</f>
        <v>0</v>
      </c>
      <c r="C113" s="86" t="s">
        <v>28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14</v>
      </c>
      <c r="B115" s="43">
        <v>7</v>
      </c>
      <c r="C115" s="44" t="s">
        <v>23</v>
      </c>
      <c r="D115" s="53">
        <f>$D$96+21</f>
        <v>45957</v>
      </c>
    </row>
    <row r="116" spans="1:4" ht="27.75" thickBot="1" x14ac:dyDescent="0.3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22</v>
      </c>
      <c r="B132" s="47">
        <f>SUM(B117:B131)</f>
        <v>0</v>
      </c>
      <c r="C132" s="86" t="s">
        <v>28</v>
      </c>
      <c r="D132" s="48"/>
    </row>
    <row r="133" spans="1:4" ht="14.25" x14ac:dyDescent="0.3">
      <c r="A133" s="49"/>
      <c r="B133" s="49"/>
      <c r="C133" s="49"/>
      <c r="D133" s="49"/>
    </row>
    <row r="134" spans="1:4" x14ac:dyDescent="0.25">
      <c r="A134" s="87" t="s">
        <v>26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BB47C0C-42BA-47AF-809D-E9F4EE193153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 xr:uid="{19AB4211-BDBB-4893-A1C3-65FCDD9098C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62BA4F84-73F9-4346-9F7F-C974F8B95232}">
      <formula1>0</formula1>
      <formula2>NbPerWeek * NbQuartPer</formula2>
    </dataValidation>
    <dataValidation type="list" allowBlank="1" showInputMessage="1" showErrorMessage="1" sqref="A3:A17 A22:A36 A41:A55 A60:A74 A79:A93 A98:A112 A117:A131" xr:uid="{C0C0A75D-5370-450D-B7BA-0E61FA91C56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017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017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Diogo Filipe Rodrigues Lopes</dc:creator>
  <cp:lastModifiedBy>Diogo Rodrigues Lopes</cp:lastModifiedBy>
  <cp:lastPrinted>2013-08-29T11:33:15Z</cp:lastPrinted>
  <dcterms:created xsi:type="dcterms:W3CDTF">1996-10-21T11:03:58Z</dcterms:created>
  <dcterms:modified xsi:type="dcterms:W3CDTF">2025-09-01T13:39:38Z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